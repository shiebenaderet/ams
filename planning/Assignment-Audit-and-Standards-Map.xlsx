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 Audit" sheetId="1" state="visible" r:id="rId3"/>
    <sheet name="Outcome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<sst xmlns="http://schemas.openxmlformats.org/spreadsheetml/2006/main" count="509" uniqueCount="274">
  <si>
    <t xml:space="preserve">Sem</t>
  </si>
  <si>
    <t xml:space="preserve">Wk</t>
  </si>
  <si>
    <t xml:space="preserve">Due</t>
  </si>
  <si>
    <t xml:space="preserve">Code</t>
  </si>
  <si>
    <t xml:space="preserve">Assignment</t>
  </si>
  <si>
    <t xml:space="preserve">Unit</t>
  </si>
  <si>
    <t xml:space="preserve">Type</t>
  </si>
  <si>
    <t xml:space="preserve">Aligned outcome(s)</t>
  </si>
  <si>
    <t xml:space="preserve">Change for 26-27</t>
  </si>
  <si>
    <t xml:space="preserve">S1</t>
  </si>
  <si>
    <t xml:space="preserve">9/4</t>
  </si>
  <si>
    <t xml:space="preserve">+NEW</t>
  </si>
  <si>
    <t xml:space="preserve">Who am I?</t>
  </si>
  <si>
    <t xml:space="preserve">U0 Identity &amp; Community</t>
  </si>
  <si>
    <t xml:space="preserve">Classwork</t>
  </si>
  <si>
    <t xml:space="preserve">9/11</t>
  </si>
  <si>
    <t xml:space="preserve">Statue of Liberty Redesign</t>
  </si>
  <si>
    <t xml:space="preserve">C1.6-8.3</t>
  </si>
  <si>
    <t xml:space="preserve">Modified lesson</t>
  </si>
  <si>
    <t xml:space="preserve">9/16</t>
  </si>
  <si>
    <t xml:space="preserve">Three Colonial Regions</t>
  </si>
  <si>
    <t xml:space="preserve">U1 The 13 Colonies</t>
  </si>
  <si>
    <t xml:space="preserve">G1.6-8.5</t>
  </si>
  <si>
    <t xml:space="preserve">9/19</t>
  </si>
  <si>
    <t xml:space="preserve">P1</t>
  </si>
  <si>
    <t xml:space="preserve">Weeks 1-3 Professionalism</t>
  </si>
  <si>
    <t xml:space="preserve">Professionalism</t>
  </si>
  <si>
    <t xml:space="preserve">9/25</t>
  </si>
  <si>
    <t xml:space="preserve">Indigenous Perspectives</t>
  </si>
  <si>
    <t xml:space="preserve">H3.6-8.4</t>
  </si>
  <si>
    <t xml:space="preserve">9/24</t>
  </si>
  <si>
    <t xml:space="preserve">The Mayflower Compact</t>
  </si>
  <si>
    <t xml:space="preserve">10/15</t>
  </si>
  <si>
    <t xml:space="preserve">Causes of Unrest</t>
  </si>
  <si>
    <t xml:space="preserve">U3 Revolutionary Voices</t>
  </si>
  <si>
    <t xml:space="preserve">H3.6-8.5, SSS1.6-8.1</t>
  </si>
  <si>
    <t xml:space="preserve">Re-tagged (no lesson change)</t>
  </si>
  <si>
    <t xml:space="preserve">F-new</t>
  </si>
  <si>
    <t xml:space="preserve">Triangle Trade Economics Debrief</t>
  </si>
  <si>
    <t xml:space="preserve">U2 Triangle Trade</t>
  </si>
  <si>
    <t xml:space="preserve">Formative</t>
  </si>
  <si>
    <t xml:space="preserve">E1.6-8.3, E2.6-8.5, E2.6-8.6, E4.6-8.5</t>
  </si>
  <si>
    <t xml:space="preserve">NEW (make graded)</t>
  </si>
  <si>
    <t xml:space="preserve">10/30</t>
  </si>
  <si>
    <t xml:space="preserve">DOI - 1776</t>
  </si>
  <si>
    <t xml:space="preserve">C1.6-8.3, H3.6-8.4</t>
  </si>
  <si>
    <t xml:space="preserve">11/05</t>
  </si>
  <si>
    <t xml:space="preserve">DOI Translation</t>
  </si>
  <si>
    <t xml:space="preserve">11/03</t>
  </si>
  <si>
    <t xml:space="preserve">Uncovering Loyalties</t>
  </si>
  <si>
    <t xml:space="preserve">Quiz 2 - Road to Independence &amp; Declaration</t>
  </si>
  <si>
    <t xml:space="preserve">Quiz</t>
  </si>
  <si>
    <t xml:space="preserve">H1.6-8.6</t>
  </si>
  <si>
    <t xml:space="preserve">11/24</t>
  </si>
  <si>
    <t xml:space="preserve">EdPuzzle - AoC</t>
  </si>
  <si>
    <t xml:space="preserve">C2.6-8.3</t>
  </si>
  <si>
    <t xml:space="preserve">11/17</t>
  </si>
  <si>
    <t xml:space="preserve">Podcast Submission</t>
  </si>
  <si>
    <t xml:space="preserve">SSS4.6-8.1, SSS4.6-8.2, H2.6-8.5, SSS2.6-8.1</t>
  </si>
  <si>
    <t xml:space="preserve">Script Submission</t>
  </si>
  <si>
    <t xml:space="preserve">SSS4.6-8.1, SSS2.6-8.2, SSS2.6-8.1</t>
  </si>
  <si>
    <t xml:space="preserve">12/5</t>
  </si>
  <si>
    <t xml:space="preserve">Constitution Scavenger Hunt</t>
  </si>
  <si>
    <t xml:space="preserve">U4 The Constitution</t>
  </si>
  <si>
    <t xml:space="preserve">C2.6-8.3, C1.6-8.3</t>
  </si>
  <si>
    <t xml:space="preserve">12/12</t>
  </si>
  <si>
    <t xml:space="preserve">Bill of Rights (Future Fright)</t>
  </si>
  <si>
    <t xml:space="preserve">1/8</t>
  </si>
  <si>
    <t xml:space="preserve">STI: Greenville Treaty CER</t>
  </si>
  <si>
    <t xml:space="preserve">SSS1.6-8.2, SSS4.6-8.1, C3.6-8.5</t>
  </si>
  <si>
    <t xml:space="preserve">Quiz 3 - Constitution &amp; Bill of Rights</t>
  </si>
  <si>
    <t xml:space="preserve">C1.6-8.3, C2.6-8.5</t>
  </si>
  <si>
    <t xml:space="preserve">Capstone Project Overview</t>
  </si>
  <si>
    <t xml:space="preserve">U5 S1 Capstone</t>
  </si>
  <si>
    <t xml:space="preserve">Project</t>
  </si>
  <si>
    <t xml:space="preserve">C1.6-8.4, H4.6-8.3, SSS4.6-8.1</t>
  </si>
  <si>
    <t xml:space="preserve">S2</t>
  </si>
  <si>
    <t xml:space="preserve">1/29</t>
  </si>
  <si>
    <t xml:space="preserve">F1</t>
  </si>
  <si>
    <t xml:space="preserve">6.1 - Who gets to be an American?</t>
  </si>
  <si>
    <t xml:space="preserve">U6 SCOTUS (Civics CBA)</t>
  </si>
  <si>
    <t xml:space="preserve">C1.6-8.4, C4.6-8.4</t>
  </si>
  <si>
    <t xml:space="preserve">Add WALT</t>
  </si>
  <si>
    <t xml:space="preserve">01/19</t>
  </si>
  <si>
    <t xml:space="preserve">Capstone Project</t>
  </si>
  <si>
    <t xml:space="preserve">Summative</t>
  </si>
  <si>
    <t xml:space="preserve">F2</t>
  </si>
  <si>
    <t xml:space="preserve">6.4 - SCOTUS Poster</t>
  </si>
  <si>
    <t xml:space="preserve">C2.6-8.5, C2.6-8.3</t>
  </si>
  <si>
    <t xml:space="preserve">2/6</t>
  </si>
  <si>
    <t xml:space="preserve">F3</t>
  </si>
  <si>
    <t xml:space="preserve">6.5 - Supreme Dilemmas</t>
  </si>
  <si>
    <t xml:space="preserve">C2.6-8.5, C4.6-8.4, C2.6-8.4</t>
  </si>
  <si>
    <t xml:space="preserve">SCOTUS Vocab Quiz</t>
  </si>
  <si>
    <t xml:space="preserve">02/18</t>
  </si>
  <si>
    <t xml:space="preserve">S3</t>
  </si>
  <si>
    <t xml:space="preserve">Opening/Closing Statements</t>
  </si>
  <si>
    <t xml:space="preserve">SSS4.6-8.1, SSS4.6-8.2, SSS1.6-8.2</t>
  </si>
  <si>
    <t xml:space="preserve">2/25</t>
  </si>
  <si>
    <t xml:space="preserve">F5</t>
  </si>
  <si>
    <t xml:space="preserve">Edpuzzle | Sonia Sotomayor</t>
  </si>
  <si>
    <t xml:space="preserve">02/20</t>
  </si>
  <si>
    <t xml:space="preserve">F4</t>
  </si>
  <si>
    <t xml:space="preserve">SCOTUS Debate</t>
  </si>
  <si>
    <t xml:space="preserve">SSS3.6-8.1, C2.6-8.5, C4.6-8.4</t>
  </si>
  <si>
    <t xml:space="preserve">3/6</t>
  </si>
  <si>
    <t xml:space="preserve">F6</t>
  </si>
  <si>
    <t xml:space="preserve">Federalist? Pre-assessment</t>
  </si>
  <si>
    <t xml:space="preserve">U7 Early Republic</t>
  </si>
  <si>
    <t xml:space="preserve">C2.6-8.6</t>
  </si>
  <si>
    <t xml:space="preserve">S4</t>
  </si>
  <si>
    <t xml:space="preserve">SCOTUS Unit Quiz</t>
  </si>
  <si>
    <t xml:space="preserve">03/09</t>
  </si>
  <si>
    <t xml:space="preserve">S5</t>
  </si>
  <si>
    <t xml:space="preserve">What do you think?</t>
  </si>
  <si>
    <t xml:space="preserve">SSS3.6-8.1, H4.6-8.3, C2.6-8.4, C2.6-8.6</t>
  </si>
  <si>
    <t xml:space="preserve">3/18</t>
  </si>
  <si>
    <t xml:space="preserve">F7</t>
  </si>
  <si>
    <t xml:space="preserve">Lewis &amp; Clark Journal</t>
  </si>
  <si>
    <t xml:space="preserve">G1.6-8.6, H2.6-8.5, H3.6-8.4, G2.6-8.6</t>
  </si>
  <si>
    <t xml:space="preserve">F8★</t>
  </si>
  <si>
    <t xml:space="preserve">The Big Decisions Project</t>
  </si>
  <si>
    <t xml:space="preserve">SSS3.6-8.1, E3.6-8.3, C3.6-8.5, E1.6-8.3, E4.6-8.6, SSS4.6-8.1, SSS2.6-8.1</t>
  </si>
  <si>
    <t xml:space="preserve">3/31</t>
  </si>
  <si>
    <t xml:space="preserve">S6</t>
  </si>
  <si>
    <t xml:space="preserve">Early Republic Quiz</t>
  </si>
  <si>
    <t xml:space="preserve">H1.6-8.6, C3.6-8.5</t>
  </si>
  <si>
    <t xml:space="preserve">03/30</t>
  </si>
  <si>
    <t xml:space="preserve">EC1</t>
  </si>
  <si>
    <t xml:space="preserve">Message to Jefferson</t>
  </si>
  <si>
    <t xml:space="preserve">Extra Credit</t>
  </si>
  <si>
    <t xml:space="preserve">C3.6-8.5, H2.6-8.5</t>
  </si>
  <si>
    <t xml:space="preserve">EC2</t>
  </si>
  <si>
    <t xml:space="preserve">War of 1812</t>
  </si>
  <si>
    <t xml:space="preserve">C3.6-8.5, H2.6-8.7</t>
  </si>
  <si>
    <t xml:space="preserve">4/14</t>
  </si>
  <si>
    <t xml:space="preserve">F9</t>
  </si>
  <si>
    <t xml:space="preserve">Westward Expansion Week 1</t>
  </si>
  <si>
    <t xml:space="preserve">U8 Westward Expansion</t>
  </si>
  <si>
    <t xml:space="preserve">H3.6-8.4, SSS1.6-8.1</t>
  </si>
  <si>
    <t xml:space="preserve">4/20</t>
  </si>
  <si>
    <t xml:space="preserve">S7</t>
  </si>
  <si>
    <t xml:space="preserve">Jackson: Hero, Villain, Both?</t>
  </si>
  <si>
    <t xml:space="preserve">H3.6-8.4, H3.6-8.5, SSS1.6-8.2</t>
  </si>
  <si>
    <t xml:space="preserve">Territorial Expansion Maps</t>
  </si>
  <si>
    <t xml:space="preserve">G1.6-8.6, G3.6-8.3, G2.6-8.6, G2.6-8.8</t>
  </si>
  <si>
    <t xml:space="preserve">4/23</t>
  </si>
  <si>
    <t xml:space="preserve">F10</t>
  </si>
  <si>
    <t xml:space="preserve">Texas Revolution</t>
  </si>
  <si>
    <t xml:space="preserve">SSS2.6-8.2, G2.6-8.7, C3.6-8.6</t>
  </si>
  <si>
    <t xml:space="preserve">4/27</t>
  </si>
  <si>
    <t xml:space="preserve">F11</t>
  </si>
  <si>
    <t xml:space="preserve">Western Dossiers, Mex-Am War</t>
  </si>
  <si>
    <t xml:space="preserve">H2.6-8.6, C3.6-8.6, G2.6-8.8, G2.6-8.7</t>
  </si>
  <si>
    <t xml:space="preserve">5/6</t>
  </si>
  <si>
    <t xml:space="preserve">F13</t>
  </si>
  <si>
    <t xml:space="preserve">Declaration of Sentiments</t>
  </si>
  <si>
    <t xml:space="preserve">C1.6-8.4, H2.6-8.5</t>
  </si>
  <si>
    <t xml:space="preserve">5/4</t>
  </si>
  <si>
    <t xml:space="preserve">F12</t>
  </si>
  <si>
    <t xml:space="preserve">Fugitive Slave Act</t>
  </si>
  <si>
    <t xml:space="preserve">C1.6-8.4, H3.6-8.4</t>
  </si>
  <si>
    <t xml:space="preserve">S8</t>
  </si>
  <si>
    <t xml:space="preserve">Westward Expansion Quiz</t>
  </si>
  <si>
    <t xml:space="preserve">H1.6-8.6, G2.6-8.8</t>
  </si>
  <si>
    <t xml:space="preserve">Sectionalism &amp; Tariffs (econ check)</t>
  </si>
  <si>
    <t xml:space="preserve">U9 The Civil War</t>
  </si>
  <si>
    <t xml:space="preserve">E3.6-8.3, E4.6-8.6, E2.6-8.5</t>
  </si>
  <si>
    <t xml:space="preserve">05/12</t>
  </si>
  <si>
    <t xml:space="preserve">F14</t>
  </si>
  <si>
    <t xml:space="preserve">Two Worlds</t>
  </si>
  <si>
    <t xml:space="preserve">E4.6-8.5, E2.6-8.5, E2.6-8.6, G1.6-8.5, G3.6-8.3</t>
  </si>
  <si>
    <t xml:space="preserve">5/18</t>
  </si>
  <si>
    <t xml:space="preserve">S9</t>
  </si>
  <si>
    <t xml:space="preserve">The Worlds of African-Americans</t>
  </si>
  <si>
    <t xml:space="preserve">H3.6-8.4, H2.6-8.6, G2.6-8.7</t>
  </si>
  <si>
    <t xml:space="preserve">Civic Action: Issue File Checkpoint</t>
  </si>
  <si>
    <t xml:space="preserve">C4.6-8.5, H4.6-8.3, SSS2.6-8.1</t>
  </si>
  <si>
    <t xml:space="preserve">5/27</t>
  </si>
  <si>
    <t xml:space="preserve">F16</t>
  </si>
  <si>
    <t xml:space="preserve">Compromise &amp; Conflict</t>
  </si>
  <si>
    <t xml:space="preserve">H3.6-8.5, H1.6-8.6, SSS1.6-8.1</t>
  </si>
  <si>
    <t xml:space="preserve">5/26</t>
  </si>
  <si>
    <t xml:space="preserve">F15</t>
  </si>
  <si>
    <t xml:space="preserve">Douglass on the 4th of July</t>
  </si>
  <si>
    <t xml:space="preserve">6/2</t>
  </si>
  <si>
    <t xml:space="preserve">F17</t>
  </si>
  <si>
    <t xml:space="preserve">Civil War Battle Journal</t>
  </si>
  <si>
    <t xml:space="preserve">H2.6-8.7, H3.6-8.4, H1.6-8.6</t>
  </si>
  <si>
    <t xml:space="preserve">S10</t>
  </si>
  <si>
    <t xml:space="preserve">Civil War Quiz</t>
  </si>
  <si>
    <t xml:space="preserve">H1.6-8.6, H3.6-8.5</t>
  </si>
  <si>
    <t xml:space="preserve">06/12</t>
  </si>
  <si>
    <t xml:space="preserve">EC3</t>
  </si>
  <si>
    <t xml:space="preserve">EC3 — Glory</t>
  </si>
  <si>
    <t xml:space="preserve">S-new</t>
  </si>
  <si>
    <t xml:space="preserve">Civic Action Project (final)</t>
  </si>
  <si>
    <t xml:space="preserve">C4.6-8.5, C4.6-8.4, H4.6-8.3, SSS4.6-8.1</t>
  </si>
  <si>
    <t xml:space="preserve">Outcome</t>
  </si>
  <si>
    <t xml:space="preserve">Strand</t>
  </si>
  <si>
    <t xml:space="preserve"># assignments</t>
  </si>
  <si>
    <t xml:space="preserve">Coverage</t>
  </si>
  <si>
    <t xml:space="preserve">Standard text</t>
  </si>
  <si>
    <t xml:space="preserve">Civics</t>
  </si>
  <si>
    <t xml:space="preserve">Explain key ideals and principles outlined in the Declaration of Independence, including life, liberty, and the pursuit of happiness; the U.S. Constitution, including the rule of law, separation of powers, representative government, and popular sovereignty; and, the Bill of Rights, including due process and freedom of expression.</t>
  </si>
  <si>
    <t xml:space="preserve">C1.6-8.4</t>
  </si>
  <si>
    <t xml:space="preserve">Evaluate efforts to reduce discrepancies between key ideals and reality in the United States.</t>
  </si>
  <si>
    <t xml:space="preserve">Analyze the structure and powers of government at the national level.</t>
  </si>
  <si>
    <t xml:space="preserve">C2.6-8.4</t>
  </si>
  <si>
    <t xml:space="preserve">Use knowledge of the function of government to analyze and address a political issue.</t>
  </si>
  <si>
    <t xml:space="preserve">C2.6-8.5</t>
  </si>
  <si>
    <t xml:space="preserve">Evaluate the effectiveness of the system of checks and balances in the United States based on an event.</t>
  </si>
  <si>
    <t xml:space="preserve">Demonstrate that the U.S. government includes concepts of both a democracy and a republic.</t>
  </si>
  <si>
    <t xml:space="preserve">C3.6-8.5</t>
  </si>
  <si>
    <t xml:space="preserve">Identify early examples of foreign policy between the United States and other nations.</t>
  </si>
  <si>
    <t xml:space="preserve">C3.6-8.6</t>
  </si>
  <si>
    <t xml:space="preserve">Analyze how the United States has interacted with other countries.</t>
  </si>
  <si>
    <t xml:space="preserve">C4.6-8.4</t>
  </si>
  <si>
    <t xml:space="preserve">Analyze how a claim on an issue attempts to balance individual rights and the common good.</t>
  </si>
  <si>
    <t xml:space="preserve">C4.6-8.5</t>
  </si>
  <si>
    <t xml:space="preserve">Employ strategies for civic involvement that address a national issue.</t>
  </si>
  <si>
    <t xml:space="preserve">E1.6-8.3</t>
  </si>
  <si>
    <t xml:space="preserve">Economics</t>
  </si>
  <si>
    <t xml:space="preserve">Analyze examples of how groups and individuals have considered profit and personal values in making economic choices in the past or present.</t>
  </si>
  <si>
    <t xml:space="preserve">E2.6-8.5</t>
  </si>
  <si>
    <t xml:space="preserve">Analyze how the forces of supply and demand have affected the production, distribution, and consumption of goods, services, and resources in the United States in the past or present.</t>
  </si>
  <si>
    <t xml:space="preserve">E2.6-8.6</t>
  </si>
  <si>
    <t xml:space="preserve">Analyze how the forces of supply and demand have affected international trade in the United States in the past or present.</t>
  </si>
  <si>
    <t xml:space="preserve">E3.6-8.3</t>
  </si>
  <si>
    <t xml:space="preserve">Analyze the influence of the U.S. government’s taxation, creation of currency, and tariffs in the past or present.</t>
  </si>
  <si>
    <t xml:space="preserve">E4.6-8.5</t>
  </si>
  <si>
    <t xml:space="preserve">Analyze the distribution of wealth and sustainability of resources in the United States.</t>
  </si>
  <si>
    <t xml:space="preserve">E4.6-8.6</t>
  </si>
  <si>
    <t xml:space="preserve">Explain the costs and benefits of trade policies to individuals, businesses, and society in the United States.</t>
  </si>
  <si>
    <t xml:space="preserve">Geography</t>
  </si>
  <si>
    <t xml:space="preserve">Explain and analyze physical and cultural characteristics of places and regions in the United States.</t>
  </si>
  <si>
    <t xml:space="preserve">G1.6-8.6</t>
  </si>
  <si>
    <t xml:space="preserve">Use maps, satellite images, photographs, and other representations to explain relationships between the locations of places and regions and their political, cultural, and economic dynamics.</t>
  </si>
  <si>
    <t xml:space="preserve">G2.6-8.6</t>
  </si>
  <si>
    <t xml:space="preserve">Analyze how the environment has affected people and how people have affected the environment in the United States in the past or present.</t>
  </si>
  <si>
    <t xml:space="preserve">G2.6-8.7</t>
  </si>
  <si>
    <t xml:space="preserve">Explain cultural diffusion in the United States from the past or in the present.</t>
  </si>
  <si>
    <t xml:space="preserve">G2.6-8.8</t>
  </si>
  <si>
    <t xml:space="preserve">Explain and analyze migration as a catalyst for the growth of the United States in the past or present.</t>
  </si>
  <si>
    <t xml:space="preserve">G3.6-8.3</t>
  </si>
  <si>
    <t xml:space="preserve">Explain how learning about the geography of the United States helps us understand global issues such as diversity, trade, and sustainability.</t>
  </si>
  <si>
    <t xml:space="preserve">History</t>
  </si>
  <si>
    <t xml:space="preserve">Explain how themes and developments help to define eras in United States history from 1763 to 1877, including: Fighting for independence (1763-1783); Establishing the new nation (1781-1815); Slavery, expansion, removal, and reform (1801-1850); Civil War and Reconstruction (1850-1877)</t>
  </si>
  <si>
    <t xml:space="preserve">H2.6-8.5</t>
  </si>
  <si>
    <t xml:space="preserve">Explain and analyze how individuals and movements have shaped United States history (1763-1877).</t>
  </si>
  <si>
    <t xml:space="preserve">H2.6-8.6</t>
  </si>
  <si>
    <t xml:space="preserve">Explain and analyze how cultures and cultural and ethnic groups have contributed to United States history (1763-1877).</t>
  </si>
  <si>
    <t xml:space="preserve">H2.6-8.7</t>
  </si>
  <si>
    <t xml:space="preserve">Explain and analyze how technology and ideas have impacted United States history (1763-1877).</t>
  </si>
  <si>
    <t xml:space="preserve">Analyze and interpret historical materials from a variety of perspectives in United States history (1763-1877).</t>
  </si>
  <si>
    <t xml:space="preserve">H3.6-8.5</t>
  </si>
  <si>
    <t xml:space="preserve">Analyze multiple causal factors to create positions on major events in United States history (1763-1877).</t>
  </si>
  <si>
    <t xml:space="preserve">H4.6-8.3</t>
  </si>
  <si>
    <t xml:space="preserve">Analyze how a historical event in United States history helps us to understand contemporary issues and events.</t>
  </si>
  <si>
    <t xml:space="preserve">SSS1.6-8.1</t>
  </si>
  <si>
    <t xml:space="preserve">Skills</t>
  </si>
  <si>
    <t xml:space="preserve">Analyze positions and evidence supporting an issue or an event.</t>
  </si>
  <si>
    <t xml:space="preserve">SSS1.6-8.2</t>
  </si>
  <si>
    <t xml:space="preserve">Evaluate the logic of reasons for a position on an issue or event.</t>
  </si>
  <si>
    <t xml:space="preserve">SSS2.6-8.1</t>
  </si>
  <si>
    <t xml:space="preserve">Create and use research questions to guide inquiry on an issue or event.</t>
  </si>
  <si>
    <t xml:space="preserve">SSS2.6-8.2</t>
  </si>
  <si>
    <t xml:space="preserve">Evaluate the breadth, reliability, and credibility of primary and secondary sources to determine the need for new or additional information when researching an issue or event.</t>
  </si>
  <si>
    <t xml:space="preserve">SSS3.6-8.1</t>
  </si>
  <si>
    <t xml:space="preserve">Engage in discussion, analyzing multiple viewpoints on public issues.</t>
  </si>
  <si>
    <t xml:space="preserve">SSS4.6-8.1</t>
  </si>
  <si>
    <t xml:space="preserve">Analyze multiple factors, make generalizations, and interpret sources to formulate a thesis in a paper or presentation, while observing rules related to plagiarism and copyright.</t>
  </si>
  <si>
    <t xml:space="preserve">SSS4.6-8.2</t>
  </si>
  <si>
    <t xml:space="preserve">Use appropriate format to cite sources within an essay, presentation, and reference page.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</si>
</sst>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D45"/>
        <bgColor rgb="FF003366"/>
      </patternFill>
    </fill>
    <fill>
      <patternFill patternType="solid">
        <fgColor rgb="FFF5F0E8"/>
        <bgColor rgb="FFE3ECDF"/>
      </patternFill>
    </fill>
    <fill>
      <patternFill patternType="solid">
        <fgColor rgb="FFE3ECDF"/>
        <bgColor rgb="FFF5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FC3"/>
      </left>
      <right style="thin">
        <color rgb="FFD6CFC3"/>
      </right>
      <top style="thin">
        <color rgb="FFD6CFC3"/>
      </top>
      <bottom style="thin">
        <color rgb="FFD6CF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3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C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s">
        <v>10</v>
      </c>
      <c r="D2" s="2" t="s">
        <v>11</v>
      </c>
      <c r="E2" s="3" t="s">
        <v>12</v>
      </c>
      <c r="F2" s="3" t="s">
        <v>13</v>
      </c>
      <c r="G2" s="2" t="s">
        <v>14</v>
      </c>
      <c r="H2" s="3"/>
      <c r="I2" s="3"/>
    </row>
    <row r="3" customFormat="false" ht="15" hidden="false" customHeight="false" outlineLevel="0" collapsed="false">
      <c r="A3" s="4" t="s">
        <v>9</v>
      </c>
      <c r="B3" s="4" t="n">
        <v>2</v>
      </c>
      <c r="C3" s="4" t="s">
        <v>15</v>
      </c>
      <c r="D3" s="4" t="s">
        <v>11</v>
      </c>
      <c r="E3" s="5" t="s">
        <v>16</v>
      </c>
      <c r="F3" s="5" t="s">
        <v>13</v>
      </c>
      <c r="G3" s="4" t="s">
        <v>14</v>
      </c>
      <c r="H3" s="5" t="s">
        <v>17</v>
      </c>
      <c r="I3" s="5" t="s">
        <v>18</v>
      </c>
    </row>
    <row r="4" customFormat="false" ht="15" hidden="false" customHeight="false" outlineLevel="0" collapsed="false">
      <c r="A4" s="2" t="s">
        <v>9</v>
      </c>
      <c r="B4" s="2" t="n">
        <v>3</v>
      </c>
      <c r="C4" s="2" t="s">
        <v>19</v>
      </c>
      <c r="D4" s="2" t="s">
        <v>11</v>
      </c>
      <c r="E4" s="3" t="s">
        <v>20</v>
      </c>
      <c r="F4" s="3" t="s">
        <v>21</v>
      </c>
      <c r="G4" s="2" t="s">
        <v>14</v>
      </c>
      <c r="H4" s="3" t="s">
        <v>22</v>
      </c>
      <c r="I4" s="3"/>
    </row>
    <row r="5" customFormat="false" ht="15" hidden="false" customHeight="false" outlineLevel="0" collapsed="false">
      <c r="A5" s="4" t="s">
        <v>9</v>
      </c>
      <c r="B5" s="4" t="n">
        <v>3</v>
      </c>
      <c r="C5" s="4" t="s">
        <v>23</v>
      </c>
      <c r="D5" s="4" t="s">
        <v>24</v>
      </c>
      <c r="E5" s="5" t="s">
        <v>25</v>
      </c>
      <c r="F5" s="5" t="s">
        <v>21</v>
      </c>
      <c r="G5" s="4" t="s">
        <v>26</v>
      </c>
      <c r="H5" s="5"/>
      <c r="I5" s="5"/>
    </row>
    <row r="6" customFormat="false" ht="15" hidden="false" customHeight="false" outlineLevel="0" collapsed="false">
      <c r="A6" s="2" t="s">
        <v>9</v>
      </c>
      <c r="B6" s="2" t="n">
        <v>4</v>
      </c>
      <c r="C6" s="2" t="s">
        <v>27</v>
      </c>
      <c r="D6" s="2" t="s">
        <v>11</v>
      </c>
      <c r="E6" s="3" t="s">
        <v>28</v>
      </c>
      <c r="F6" s="3" t="s">
        <v>21</v>
      </c>
      <c r="G6" s="2" t="s">
        <v>14</v>
      </c>
      <c r="H6" s="3" t="s">
        <v>29</v>
      </c>
      <c r="I6" s="3"/>
    </row>
    <row r="7" customFormat="false" ht="15" hidden="false" customHeight="false" outlineLevel="0" collapsed="false">
      <c r="A7" s="4" t="s">
        <v>9</v>
      </c>
      <c r="B7" s="4" t="n">
        <v>4</v>
      </c>
      <c r="C7" s="4" t="s">
        <v>30</v>
      </c>
      <c r="D7" s="4" t="s">
        <v>11</v>
      </c>
      <c r="E7" s="5" t="s">
        <v>31</v>
      </c>
      <c r="F7" s="5" t="s">
        <v>21</v>
      </c>
      <c r="G7" s="4" t="s">
        <v>14</v>
      </c>
      <c r="H7" s="5" t="s">
        <v>17</v>
      </c>
      <c r="I7" s="5" t="s">
        <v>18</v>
      </c>
    </row>
    <row r="8" customFormat="false" ht="23.85" hidden="false" customHeight="false" outlineLevel="0" collapsed="false">
      <c r="A8" s="2" t="s">
        <v>9</v>
      </c>
      <c r="B8" s="2" t="n">
        <v>7</v>
      </c>
      <c r="C8" s="2" t="s">
        <v>32</v>
      </c>
      <c r="D8" s="2" t="s">
        <v>11</v>
      </c>
      <c r="E8" s="3" t="s">
        <v>33</v>
      </c>
      <c r="F8" s="3" t="s">
        <v>34</v>
      </c>
      <c r="G8" s="2" t="s">
        <v>14</v>
      </c>
      <c r="H8" s="3" t="s">
        <v>35</v>
      </c>
      <c r="I8" s="3" t="s">
        <v>36</v>
      </c>
    </row>
    <row r="9" customFormat="false" ht="23.85" hidden="false" customHeight="false" outlineLevel="0" collapsed="false">
      <c r="A9" s="6" t="s">
        <v>9</v>
      </c>
      <c r="B9" s="6" t="n">
        <v>7</v>
      </c>
      <c r="C9" s="6"/>
      <c r="D9" s="6" t="s">
        <v>37</v>
      </c>
      <c r="E9" s="7" t="s">
        <v>38</v>
      </c>
      <c r="F9" s="7" t="s">
        <v>39</v>
      </c>
      <c r="G9" s="6" t="s">
        <v>40</v>
      </c>
      <c r="H9" s="7" t="s">
        <v>41</v>
      </c>
      <c r="I9" s="7" t="s">
        <v>42</v>
      </c>
    </row>
    <row r="10" customFormat="false" ht="15" hidden="false" customHeight="false" outlineLevel="0" collapsed="false">
      <c r="A10" s="2" t="s">
        <v>9</v>
      </c>
      <c r="B10" s="2" t="n">
        <v>9</v>
      </c>
      <c r="C10" s="2" t="s">
        <v>43</v>
      </c>
      <c r="D10" s="2" t="s">
        <v>11</v>
      </c>
      <c r="E10" s="3" t="s">
        <v>44</v>
      </c>
      <c r="F10" s="3" t="s">
        <v>34</v>
      </c>
      <c r="G10" s="2" t="s">
        <v>14</v>
      </c>
      <c r="H10" s="3" t="s">
        <v>45</v>
      </c>
      <c r="I10" s="3"/>
    </row>
    <row r="11" customFormat="false" ht="15" hidden="false" customHeight="false" outlineLevel="0" collapsed="false">
      <c r="A11" s="4" t="s">
        <v>9</v>
      </c>
      <c r="B11" s="4" t="n">
        <v>10</v>
      </c>
      <c r="C11" s="4" t="s">
        <v>46</v>
      </c>
      <c r="D11" s="4" t="s">
        <v>11</v>
      </c>
      <c r="E11" s="5" t="s">
        <v>47</v>
      </c>
      <c r="F11" s="5" t="s">
        <v>34</v>
      </c>
      <c r="G11" s="4" t="s">
        <v>14</v>
      </c>
      <c r="H11" s="5" t="s">
        <v>17</v>
      </c>
      <c r="I11" s="5"/>
    </row>
    <row r="12" customFormat="false" ht="15" hidden="false" customHeight="false" outlineLevel="0" collapsed="false">
      <c r="A12" s="2" t="s">
        <v>9</v>
      </c>
      <c r="B12" s="2" t="n">
        <v>10</v>
      </c>
      <c r="C12" s="2" t="s">
        <v>48</v>
      </c>
      <c r="D12" s="2" t="s">
        <v>11</v>
      </c>
      <c r="E12" s="3" t="s">
        <v>49</v>
      </c>
      <c r="F12" s="3" t="s">
        <v>34</v>
      </c>
      <c r="G12" s="2" t="s">
        <v>14</v>
      </c>
      <c r="H12" s="3" t="s">
        <v>29</v>
      </c>
      <c r="I12" s="3"/>
    </row>
    <row r="13" customFormat="false" ht="23.85" hidden="false" customHeight="false" outlineLevel="0" collapsed="false">
      <c r="A13" s="4" t="s">
        <v>9</v>
      </c>
      <c r="B13" s="4" t="n">
        <v>11</v>
      </c>
      <c r="C13" s="4"/>
      <c r="D13" s="4" t="s">
        <v>11</v>
      </c>
      <c r="E13" s="5" t="s">
        <v>50</v>
      </c>
      <c r="F13" s="5" t="s">
        <v>34</v>
      </c>
      <c r="G13" s="4" t="s">
        <v>51</v>
      </c>
      <c r="H13" s="5" t="s">
        <v>52</v>
      </c>
      <c r="I13" s="5"/>
    </row>
    <row r="14" customFormat="false" ht="15" hidden="false" customHeight="false" outlineLevel="0" collapsed="false">
      <c r="A14" s="2" t="s">
        <v>9</v>
      </c>
      <c r="B14" s="2" t="n">
        <v>12</v>
      </c>
      <c r="C14" s="2" t="s">
        <v>53</v>
      </c>
      <c r="D14" s="2" t="s">
        <v>11</v>
      </c>
      <c r="E14" s="3" t="s">
        <v>54</v>
      </c>
      <c r="F14" s="3" t="s">
        <v>34</v>
      </c>
      <c r="G14" s="2" t="s">
        <v>14</v>
      </c>
      <c r="H14" s="3" t="s">
        <v>55</v>
      </c>
      <c r="I14" s="3"/>
    </row>
    <row r="15" customFormat="false" ht="23.85" hidden="false" customHeight="false" outlineLevel="0" collapsed="false">
      <c r="A15" s="4" t="s">
        <v>9</v>
      </c>
      <c r="B15" s="4" t="n">
        <v>12</v>
      </c>
      <c r="C15" s="4" t="s">
        <v>56</v>
      </c>
      <c r="D15" s="4" t="s">
        <v>11</v>
      </c>
      <c r="E15" s="5" t="s">
        <v>57</v>
      </c>
      <c r="F15" s="5" t="s">
        <v>34</v>
      </c>
      <c r="G15" s="4" t="s">
        <v>14</v>
      </c>
      <c r="H15" s="5" t="s">
        <v>58</v>
      </c>
      <c r="I15" s="5" t="s">
        <v>36</v>
      </c>
    </row>
    <row r="16" customFormat="false" ht="23.85" hidden="false" customHeight="false" outlineLevel="0" collapsed="false">
      <c r="A16" s="2" t="s">
        <v>9</v>
      </c>
      <c r="B16" s="2" t="n">
        <v>12</v>
      </c>
      <c r="C16" s="2" t="s">
        <v>46</v>
      </c>
      <c r="D16" s="2" t="s">
        <v>11</v>
      </c>
      <c r="E16" s="3" t="s">
        <v>59</v>
      </c>
      <c r="F16" s="3" t="s">
        <v>34</v>
      </c>
      <c r="G16" s="2" t="s">
        <v>14</v>
      </c>
      <c r="H16" s="3" t="s">
        <v>60</v>
      </c>
      <c r="I16" s="3" t="s">
        <v>36</v>
      </c>
    </row>
    <row r="17" customFormat="false" ht="15" hidden="false" customHeight="false" outlineLevel="0" collapsed="false">
      <c r="A17" s="4" t="s">
        <v>9</v>
      </c>
      <c r="B17" s="4" t="n">
        <v>14</v>
      </c>
      <c r="C17" s="4" t="s">
        <v>61</v>
      </c>
      <c r="D17" s="4" t="s">
        <v>11</v>
      </c>
      <c r="E17" s="5" t="s">
        <v>62</v>
      </c>
      <c r="F17" s="5" t="s">
        <v>63</v>
      </c>
      <c r="G17" s="4" t="s">
        <v>14</v>
      </c>
      <c r="H17" s="5" t="s">
        <v>64</v>
      </c>
      <c r="I17" s="5" t="s">
        <v>18</v>
      </c>
    </row>
    <row r="18" customFormat="false" ht="15" hidden="false" customHeight="false" outlineLevel="0" collapsed="false">
      <c r="A18" s="2" t="s">
        <v>9</v>
      </c>
      <c r="B18" s="2" t="n">
        <v>15</v>
      </c>
      <c r="C18" s="2" t="s">
        <v>65</v>
      </c>
      <c r="D18" s="2" t="s">
        <v>11</v>
      </c>
      <c r="E18" s="3" t="s">
        <v>66</v>
      </c>
      <c r="F18" s="3" t="s">
        <v>63</v>
      </c>
      <c r="G18" s="2" t="s">
        <v>14</v>
      </c>
      <c r="H18" s="3" t="s">
        <v>17</v>
      </c>
      <c r="I18" s="3"/>
    </row>
    <row r="19" customFormat="false" ht="15" hidden="false" customHeight="false" outlineLevel="0" collapsed="false">
      <c r="A19" s="4" t="s">
        <v>9</v>
      </c>
      <c r="B19" s="4" t="n">
        <v>17</v>
      </c>
      <c r="C19" s="4" t="s">
        <v>67</v>
      </c>
      <c r="D19" s="4" t="s">
        <v>11</v>
      </c>
      <c r="E19" s="5" t="s">
        <v>68</v>
      </c>
      <c r="F19" s="5" t="s">
        <v>63</v>
      </c>
      <c r="G19" s="4" t="s">
        <v>14</v>
      </c>
      <c r="H19" s="5" t="s">
        <v>69</v>
      </c>
      <c r="I19" s="5"/>
    </row>
    <row r="20" customFormat="false" ht="15" hidden="false" customHeight="false" outlineLevel="0" collapsed="false">
      <c r="A20" s="2" t="s">
        <v>9</v>
      </c>
      <c r="B20" s="2" t="n">
        <v>18</v>
      </c>
      <c r="C20" s="2"/>
      <c r="D20" s="2" t="s">
        <v>11</v>
      </c>
      <c r="E20" s="3" t="s">
        <v>70</v>
      </c>
      <c r="F20" s="3" t="s">
        <v>63</v>
      </c>
      <c r="G20" s="2" t="s">
        <v>51</v>
      </c>
      <c r="H20" s="3" t="s">
        <v>71</v>
      </c>
      <c r="I20" s="3"/>
    </row>
    <row r="21" customFormat="false" ht="15" hidden="false" customHeight="false" outlineLevel="0" collapsed="false">
      <c r="A21" s="4" t="s">
        <v>9</v>
      </c>
      <c r="B21" s="4" t="n">
        <v>19</v>
      </c>
      <c r="C21" s="4"/>
      <c r="D21" s="4" t="s">
        <v>11</v>
      </c>
      <c r="E21" s="5" t="s">
        <v>72</v>
      </c>
      <c r="F21" s="5" t="s">
        <v>73</v>
      </c>
      <c r="G21" s="4" t="s">
        <v>74</v>
      </c>
      <c r="H21" s="5" t="s">
        <v>75</v>
      </c>
      <c r="I21" s="5"/>
    </row>
    <row r="22" customFormat="false" ht="15" hidden="false" customHeight="false" outlineLevel="0" collapsed="false">
      <c r="A22" s="2" t="s">
        <v>76</v>
      </c>
      <c r="B22" s="2" t="n">
        <v>1</v>
      </c>
      <c r="C22" s="2" t="s">
        <v>77</v>
      </c>
      <c r="D22" s="2" t="s">
        <v>78</v>
      </c>
      <c r="E22" s="3" t="s">
        <v>79</v>
      </c>
      <c r="F22" s="3" t="s">
        <v>80</v>
      </c>
      <c r="G22" s="2" t="s">
        <v>40</v>
      </c>
      <c r="H22" s="3" t="s">
        <v>81</v>
      </c>
      <c r="I22" s="3" t="s">
        <v>82</v>
      </c>
    </row>
    <row r="23" customFormat="false" ht="15" hidden="false" customHeight="false" outlineLevel="0" collapsed="false">
      <c r="A23" s="4" t="s">
        <v>76</v>
      </c>
      <c r="B23" s="4" t="n">
        <v>1</v>
      </c>
      <c r="C23" s="4" t="s">
        <v>83</v>
      </c>
      <c r="D23" s="4" t="s">
        <v>9</v>
      </c>
      <c r="E23" s="5" t="s">
        <v>84</v>
      </c>
      <c r="F23" s="5" t="s">
        <v>80</v>
      </c>
      <c r="G23" s="4" t="s">
        <v>85</v>
      </c>
      <c r="H23" s="5" t="s">
        <v>75</v>
      </c>
      <c r="I23" s="5"/>
    </row>
    <row r="24" customFormat="false" ht="15" hidden="false" customHeight="false" outlineLevel="0" collapsed="false">
      <c r="A24" s="2" t="s">
        <v>76</v>
      </c>
      <c r="B24" s="2" t="n">
        <v>2</v>
      </c>
      <c r="C24" s="2"/>
      <c r="D24" s="2" t="s">
        <v>86</v>
      </c>
      <c r="E24" s="3" t="s">
        <v>87</v>
      </c>
      <c r="F24" s="3" t="s">
        <v>80</v>
      </c>
      <c r="G24" s="2" t="s">
        <v>40</v>
      </c>
      <c r="H24" s="3" t="s">
        <v>88</v>
      </c>
      <c r="I24" s="3" t="s">
        <v>18</v>
      </c>
    </row>
    <row r="25" customFormat="false" ht="23.85" hidden="false" customHeight="false" outlineLevel="0" collapsed="false">
      <c r="A25" s="4" t="s">
        <v>76</v>
      </c>
      <c r="B25" s="4" t="n">
        <v>2</v>
      </c>
      <c r="C25" s="4" t="s">
        <v>89</v>
      </c>
      <c r="D25" s="4" t="s">
        <v>90</v>
      </c>
      <c r="E25" s="5" t="s">
        <v>91</v>
      </c>
      <c r="F25" s="5" t="s">
        <v>80</v>
      </c>
      <c r="G25" s="4" t="s">
        <v>40</v>
      </c>
      <c r="H25" s="5" t="s">
        <v>92</v>
      </c>
      <c r="I25" s="5" t="s">
        <v>36</v>
      </c>
    </row>
    <row r="26" customFormat="false" ht="15" hidden="false" customHeight="false" outlineLevel="0" collapsed="false">
      <c r="A26" s="2" t="s">
        <v>76</v>
      </c>
      <c r="B26" s="2" t="n">
        <v>2</v>
      </c>
      <c r="C26" s="2"/>
      <c r="D26" s="2" t="s">
        <v>76</v>
      </c>
      <c r="E26" s="3" t="s">
        <v>93</v>
      </c>
      <c r="F26" s="3" t="s">
        <v>80</v>
      </c>
      <c r="G26" s="2" t="s">
        <v>85</v>
      </c>
      <c r="H26" s="3" t="s">
        <v>55</v>
      </c>
      <c r="I26" s="3"/>
    </row>
    <row r="27" customFormat="false" ht="23.85" hidden="false" customHeight="false" outlineLevel="0" collapsed="false">
      <c r="A27" s="4" t="s">
        <v>76</v>
      </c>
      <c r="B27" s="4" t="n">
        <v>3</v>
      </c>
      <c r="C27" s="4" t="s">
        <v>94</v>
      </c>
      <c r="D27" s="4" t="s">
        <v>95</v>
      </c>
      <c r="E27" s="5" t="s">
        <v>96</v>
      </c>
      <c r="F27" s="5" t="s">
        <v>80</v>
      </c>
      <c r="G27" s="4" t="s">
        <v>85</v>
      </c>
      <c r="H27" s="5" t="s">
        <v>97</v>
      </c>
      <c r="I27" s="5"/>
    </row>
    <row r="28" customFormat="false" ht="15" hidden="false" customHeight="false" outlineLevel="0" collapsed="false">
      <c r="A28" s="2" t="s">
        <v>76</v>
      </c>
      <c r="B28" s="2" t="n">
        <v>5</v>
      </c>
      <c r="C28" s="2" t="s">
        <v>98</v>
      </c>
      <c r="D28" s="2" t="s">
        <v>99</v>
      </c>
      <c r="E28" s="3" t="s">
        <v>100</v>
      </c>
      <c r="F28" s="3" t="s">
        <v>80</v>
      </c>
      <c r="G28" s="2" t="s">
        <v>40</v>
      </c>
      <c r="H28" s="3" t="s">
        <v>55</v>
      </c>
      <c r="I28" s="3"/>
    </row>
    <row r="29" customFormat="false" ht="15" hidden="false" customHeight="false" outlineLevel="0" collapsed="false">
      <c r="A29" s="4" t="s">
        <v>76</v>
      </c>
      <c r="B29" s="4" t="n">
        <v>5</v>
      </c>
      <c r="C29" s="4" t="s">
        <v>101</v>
      </c>
      <c r="D29" s="4" t="s">
        <v>102</v>
      </c>
      <c r="E29" s="5" t="s">
        <v>103</v>
      </c>
      <c r="F29" s="5" t="s">
        <v>80</v>
      </c>
      <c r="G29" s="4" t="s">
        <v>40</v>
      </c>
      <c r="H29" s="5" t="s">
        <v>104</v>
      </c>
      <c r="I29" s="5"/>
    </row>
    <row r="30" customFormat="false" ht="15" hidden="false" customHeight="false" outlineLevel="0" collapsed="false">
      <c r="A30" s="2" t="s">
        <v>76</v>
      </c>
      <c r="B30" s="2" t="n">
        <v>6</v>
      </c>
      <c r="C30" s="2" t="s">
        <v>105</v>
      </c>
      <c r="D30" s="2" t="s">
        <v>106</v>
      </c>
      <c r="E30" s="3" t="s">
        <v>107</v>
      </c>
      <c r="F30" s="3" t="s">
        <v>108</v>
      </c>
      <c r="G30" s="2" t="s">
        <v>40</v>
      </c>
      <c r="H30" s="3" t="s">
        <v>109</v>
      </c>
      <c r="I30" s="3"/>
    </row>
    <row r="31" customFormat="false" ht="15" hidden="false" customHeight="false" outlineLevel="0" collapsed="false">
      <c r="A31" s="4" t="s">
        <v>76</v>
      </c>
      <c r="B31" s="4" t="n">
        <v>6</v>
      </c>
      <c r="C31" s="4"/>
      <c r="D31" s="4" t="s">
        <v>110</v>
      </c>
      <c r="E31" s="5" t="s">
        <v>111</v>
      </c>
      <c r="F31" s="5" t="s">
        <v>108</v>
      </c>
      <c r="G31" s="4" t="s">
        <v>85</v>
      </c>
      <c r="H31" s="5" t="s">
        <v>88</v>
      </c>
      <c r="I31" s="5"/>
    </row>
    <row r="32" customFormat="false" ht="23.85" hidden="false" customHeight="false" outlineLevel="0" collapsed="false">
      <c r="A32" s="2" t="s">
        <v>76</v>
      </c>
      <c r="B32" s="2" t="n">
        <v>7</v>
      </c>
      <c r="C32" s="2" t="s">
        <v>112</v>
      </c>
      <c r="D32" s="2" t="s">
        <v>113</v>
      </c>
      <c r="E32" s="3" t="s">
        <v>114</v>
      </c>
      <c r="F32" s="3" t="s">
        <v>108</v>
      </c>
      <c r="G32" s="2" t="s">
        <v>85</v>
      </c>
      <c r="H32" s="3" t="s">
        <v>115</v>
      </c>
      <c r="I32" s="3" t="s">
        <v>36</v>
      </c>
    </row>
    <row r="33" customFormat="false" ht="23.85" hidden="false" customHeight="false" outlineLevel="0" collapsed="false">
      <c r="A33" s="4" t="s">
        <v>76</v>
      </c>
      <c r="B33" s="4" t="n">
        <v>8</v>
      </c>
      <c r="C33" s="4" t="s">
        <v>116</v>
      </c>
      <c r="D33" s="4" t="s">
        <v>117</v>
      </c>
      <c r="E33" s="5" t="s">
        <v>118</v>
      </c>
      <c r="F33" s="5" t="s">
        <v>108</v>
      </c>
      <c r="G33" s="4" t="s">
        <v>40</v>
      </c>
      <c r="H33" s="5" t="s">
        <v>119</v>
      </c>
      <c r="I33" s="5" t="s">
        <v>18</v>
      </c>
    </row>
    <row r="34" customFormat="false" ht="35.05" hidden="false" customHeight="false" outlineLevel="0" collapsed="false">
      <c r="A34" s="6" t="s">
        <v>76</v>
      </c>
      <c r="B34" s="6" t="n">
        <v>9</v>
      </c>
      <c r="C34" s="6"/>
      <c r="D34" s="6" t="s">
        <v>120</v>
      </c>
      <c r="E34" s="7" t="s">
        <v>121</v>
      </c>
      <c r="F34" s="7" t="s">
        <v>108</v>
      </c>
      <c r="G34" s="6" t="s">
        <v>85</v>
      </c>
      <c r="H34" s="7" t="s">
        <v>122</v>
      </c>
      <c r="I34" s="7" t="s">
        <v>42</v>
      </c>
    </row>
    <row r="35" customFormat="false" ht="15" hidden="false" customHeight="false" outlineLevel="0" collapsed="false">
      <c r="A35" s="4" t="s">
        <v>76</v>
      </c>
      <c r="B35" s="4" t="n">
        <v>10</v>
      </c>
      <c r="C35" s="4" t="s">
        <v>123</v>
      </c>
      <c r="D35" s="4" t="s">
        <v>124</v>
      </c>
      <c r="E35" s="5" t="s">
        <v>125</v>
      </c>
      <c r="F35" s="5" t="s">
        <v>108</v>
      </c>
      <c r="G35" s="4" t="s">
        <v>85</v>
      </c>
      <c r="H35" s="5" t="s">
        <v>126</v>
      </c>
      <c r="I35" s="5"/>
    </row>
    <row r="36" customFormat="false" ht="15" hidden="false" customHeight="false" outlineLevel="0" collapsed="false">
      <c r="A36" s="2" t="s">
        <v>76</v>
      </c>
      <c r="B36" s="2" t="n">
        <v>10</v>
      </c>
      <c r="C36" s="2" t="s">
        <v>127</v>
      </c>
      <c r="D36" s="2" t="s">
        <v>128</v>
      </c>
      <c r="E36" s="3" t="s">
        <v>129</v>
      </c>
      <c r="F36" s="3" t="s">
        <v>108</v>
      </c>
      <c r="G36" s="2" t="s">
        <v>130</v>
      </c>
      <c r="H36" s="3" t="s">
        <v>131</v>
      </c>
      <c r="I36" s="3"/>
    </row>
    <row r="37" customFormat="false" ht="15" hidden="false" customHeight="false" outlineLevel="0" collapsed="false">
      <c r="A37" s="4" t="s">
        <v>76</v>
      </c>
      <c r="B37" s="4" t="n">
        <v>10</v>
      </c>
      <c r="C37" s="4" t="s">
        <v>123</v>
      </c>
      <c r="D37" s="4" t="s">
        <v>132</v>
      </c>
      <c r="E37" s="5" t="s">
        <v>133</v>
      </c>
      <c r="F37" s="5" t="s">
        <v>108</v>
      </c>
      <c r="G37" s="4" t="s">
        <v>130</v>
      </c>
      <c r="H37" s="5" t="s">
        <v>134</v>
      </c>
      <c r="I37" s="5"/>
    </row>
    <row r="38" customFormat="false" ht="23.85" hidden="false" customHeight="false" outlineLevel="0" collapsed="false">
      <c r="A38" s="2" t="s">
        <v>76</v>
      </c>
      <c r="B38" s="2" t="n">
        <v>11</v>
      </c>
      <c r="C38" s="2" t="s">
        <v>135</v>
      </c>
      <c r="D38" s="2" t="s">
        <v>136</v>
      </c>
      <c r="E38" s="3" t="s">
        <v>137</v>
      </c>
      <c r="F38" s="3" t="s">
        <v>138</v>
      </c>
      <c r="G38" s="2" t="s">
        <v>40</v>
      </c>
      <c r="H38" s="3" t="s">
        <v>139</v>
      </c>
      <c r="I38" s="3" t="s">
        <v>36</v>
      </c>
    </row>
    <row r="39" customFormat="false" ht="15" hidden="false" customHeight="false" outlineLevel="0" collapsed="false">
      <c r="A39" s="4" t="s">
        <v>76</v>
      </c>
      <c r="B39" s="4" t="n">
        <v>12</v>
      </c>
      <c r="C39" s="4" t="s">
        <v>140</v>
      </c>
      <c r="D39" s="4" t="s">
        <v>141</v>
      </c>
      <c r="E39" s="5" t="s">
        <v>142</v>
      </c>
      <c r="F39" s="5" t="s">
        <v>138</v>
      </c>
      <c r="G39" s="4" t="s">
        <v>85</v>
      </c>
      <c r="H39" s="5" t="s">
        <v>143</v>
      </c>
      <c r="I39" s="5"/>
    </row>
    <row r="40" customFormat="false" ht="23.85" hidden="false" customHeight="false" outlineLevel="0" collapsed="false">
      <c r="A40" s="6" t="s">
        <v>76</v>
      </c>
      <c r="B40" s="6" t="n">
        <v>13</v>
      </c>
      <c r="C40" s="6"/>
      <c r="D40" s="6" t="s">
        <v>37</v>
      </c>
      <c r="E40" s="7" t="s">
        <v>144</v>
      </c>
      <c r="F40" s="7" t="s">
        <v>138</v>
      </c>
      <c r="G40" s="6" t="s">
        <v>40</v>
      </c>
      <c r="H40" s="7" t="s">
        <v>145</v>
      </c>
      <c r="I40" s="7" t="s">
        <v>42</v>
      </c>
    </row>
    <row r="41" customFormat="false" ht="23.85" hidden="false" customHeight="false" outlineLevel="0" collapsed="false">
      <c r="A41" s="4" t="s">
        <v>76</v>
      </c>
      <c r="B41" s="4" t="n">
        <v>13</v>
      </c>
      <c r="C41" s="4" t="s">
        <v>146</v>
      </c>
      <c r="D41" s="4" t="s">
        <v>147</v>
      </c>
      <c r="E41" s="5" t="s">
        <v>148</v>
      </c>
      <c r="F41" s="5" t="s">
        <v>138</v>
      </c>
      <c r="G41" s="4" t="s">
        <v>40</v>
      </c>
      <c r="H41" s="5" t="s">
        <v>149</v>
      </c>
      <c r="I41" s="5" t="s">
        <v>36</v>
      </c>
    </row>
    <row r="42" customFormat="false" ht="23.85" hidden="false" customHeight="false" outlineLevel="0" collapsed="false">
      <c r="A42" s="2" t="s">
        <v>76</v>
      </c>
      <c r="B42" s="2" t="n">
        <v>13</v>
      </c>
      <c r="C42" s="2" t="s">
        <v>150</v>
      </c>
      <c r="D42" s="2" t="s">
        <v>151</v>
      </c>
      <c r="E42" s="3" t="s">
        <v>152</v>
      </c>
      <c r="F42" s="3" t="s">
        <v>138</v>
      </c>
      <c r="G42" s="2" t="s">
        <v>40</v>
      </c>
      <c r="H42" s="3" t="s">
        <v>153</v>
      </c>
      <c r="I42" s="3" t="s">
        <v>36</v>
      </c>
    </row>
    <row r="43" customFormat="false" ht="15" hidden="false" customHeight="false" outlineLevel="0" collapsed="false">
      <c r="A43" s="4" t="s">
        <v>76</v>
      </c>
      <c r="B43" s="4" t="n">
        <v>14</v>
      </c>
      <c r="C43" s="4" t="s">
        <v>154</v>
      </c>
      <c r="D43" s="4" t="s">
        <v>155</v>
      </c>
      <c r="E43" s="5" t="s">
        <v>156</v>
      </c>
      <c r="F43" s="5" t="s">
        <v>138</v>
      </c>
      <c r="G43" s="4" t="s">
        <v>40</v>
      </c>
      <c r="H43" s="5" t="s">
        <v>157</v>
      </c>
      <c r="I43" s="5" t="s">
        <v>82</v>
      </c>
    </row>
    <row r="44" customFormat="false" ht="15" hidden="false" customHeight="false" outlineLevel="0" collapsed="false">
      <c r="A44" s="2" t="s">
        <v>76</v>
      </c>
      <c r="B44" s="2" t="n">
        <v>14</v>
      </c>
      <c r="C44" s="2" t="s">
        <v>158</v>
      </c>
      <c r="D44" s="2" t="s">
        <v>159</v>
      </c>
      <c r="E44" s="3" t="s">
        <v>160</v>
      </c>
      <c r="F44" s="3" t="s">
        <v>138</v>
      </c>
      <c r="G44" s="2" t="s">
        <v>40</v>
      </c>
      <c r="H44" s="3" t="s">
        <v>161</v>
      </c>
      <c r="I44" s="3"/>
    </row>
    <row r="45" customFormat="false" ht="15" hidden="false" customHeight="false" outlineLevel="0" collapsed="false">
      <c r="A45" s="4" t="s">
        <v>76</v>
      </c>
      <c r="B45" s="4" t="n">
        <v>14</v>
      </c>
      <c r="C45" s="4"/>
      <c r="D45" s="4" t="s">
        <v>162</v>
      </c>
      <c r="E45" s="5" t="s">
        <v>163</v>
      </c>
      <c r="F45" s="5" t="s">
        <v>138</v>
      </c>
      <c r="G45" s="4" t="s">
        <v>85</v>
      </c>
      <c r="H45" s="5" t="s">
        <v>164</v>
      </c>
      <c r="I45" s="5"/>
    </row>
    <row r="46" customFormat="false" ht="15" hidden="false" customHeight="false" outlineLevel="0" collapsed="false">
      <c r="A46" s="6" t="s">
        <v>76</v>
      </c>
      <c r="B46" s="6" t="n">
        <v>15</v>
      </c>
      <c r="C46" s="6"/>
      <c r="D46" s="6" t="s">
        <v>37</v>
      </c>
      <c r="E46" s="7" t="s">
        <v>165</v>
      </c>
      <c r="F46" s="7" t="s">
        <v>166</v>
      </c>
      <c r="G46" s="6" t="s">
        <v>40</v>
      </c>
      <c r="H46" s="7" t="s">
        <v>167</v>
      </c>
      <c r="I46" s="7" t="s">
        <v>42</v>
      </c>
    </row>
    <row r="47" customFormat="false" ht="23.85" hidden="false" customHeight="false" outlineLevel="0" collapsed="false">
      <c r="A47" s="4" t="s">
        <v>76</v>
      </c>
      <c r="B47" s="4" t="n">
        <v>15</v>
      </c>
      <c r="C47" s="4" t="s">
        <v>168</v>
      </c>
      <c r="D47" s="4" t="s">
        <v>169</v>
      </c>
      <c r="E47" s="5" t="s">
        <v>170</v>
      </c>
      <c r="F47" s="5" t="s">
        <v>166</v>
      </c>
      <c r="G47" s="4" t="s">
        <v>40</v>
      </c>
      <c r="H47" s="5" t="s">
        <v>171</v>
      </c>
      <c r="I47" s="5" t="s">
        <v>18</v>
      </c>
    </row>
    <row r="48" customFormat="false" ht="15" hidden="false" customHeight="false" outlineLevel="0" collapsed="false">
      <c r="A48" s="2" t="s">
        <v>76</v>
      </c>
      <c r="B48" s="2" t="n">
        <v>16</v>
      </c>
      <c r="C48" s="2" t="s">
        <v>172</v>
      </c>
      <c r="D48" s="2" t="s">
        <v>173</v>
      </c>
      <c r="E48" s="3" t="s">
        <v>174</v>
      </c>
      <c r="F48" s="3" t="s">
        <v>166</v>
      </c>
      <c r="G48" s="2" t="s">
        <v>85</v>
      </c>
      <c r="H48" s="3" t="s">
        <v>175</v>
      </c>
      <c r="I48" s="3" t="s">
        <v>82</v>
      </c>
    </row>
    <row r="49" customFormat="false" ht="15" hidden="false" customHeight="false" outlineLevel="0" collapsed="false">
      <c r="A49" s="6" t="s">
        <v>76</v>
      </c>
      <c r="B49" s="6" t="n">
        <v>17</v>
      </c>
      <c r="C49" s="6"/>
      <c r="D49" s="6" t="s">
        <v>37</v>
      </c>
      <c r="E49" s="7" t="s">
        <v>176</v>
      </c>
      <c r="F49" s="7" t="s">
        <v>166</v>
      </c>
      <c r="G49" s="6" t="s">
        <v>40</v>
      </c>
      <c r="H49" s="7" t="s">
        <v>177</v>
      </c>
      <c r="I49" s="7" t="s">
        <v>42</v>
      </c>
    </row>
    <row r="50" customFormat="false" ht="23.85" hidden="false" customHeight="false" outlineLevel="0" collapsed="false">
      <c r="A50" s="2" t="s">
        <v>76</v>
      </c>
      <c r="B50" s="2" t="n">
        <v>17</v>
      </c>
      <c r="C50" s="2" t="s">
        <v>178</v>
      </c>
      <c r="D50" s="2" t="s">
        <v>179</v>
      </c>
      <c r="E50" s="3" t="s">
        <v>180</v>
      </c>
      <c r="F50" s="3" t="s">
        <v>166</v>
      </c>
      <c r="G50" s="2" t="s">
        <v>40</v>
      </c>
      <c r="H50" s="3" t="s">
        <v>181</v>
      </c>
      <c r="I50" s="3" t="s">
        <v>36</v>
      </c>
    </row>
    <row r="51" customFormat="false" ht="15" hidden="false" customHeight="false" outlineLevel="0" collapsed="false">
      <c r="A51" s="4" t="s">
        <v>76</v>
      </c>
      <c r="B51" s="4" t="n">
        <v>17</v>
      </c>
      <c r="C51" s="4" t="s">
        <v>182</v>
      </c>
      <c r="D51" s="4" t="s">
        <v>183</v>
      </c>
      <c r="E51" s="5" t="s">
        <v>184</v>
      </c>
      <c r="F51" s="5" t="s">
        <v>166</v>
      </c>
      <c r="G51" s="4" t="s">
        <v>40</v>
      </c>
      <c r="H51" s="5" t="s">
        <v>161</v>
      </c>
      <c r="I51" s="5"/>
    </row>
    <row r="52" customFormat="false" ht="15" hidden="false" customHeight="false" outlineLevel="0" collapsed="false">
      <c r="A52" s="2" t="s">
        <v>76</v>
      </c>
      <c r="B52" s="2" t="n">
        <v>18</v>
      </c>
      <c r="C52" s="2" t="s">
        <v>185</v>
      </c>
      <c r="D52" s="2" t="s">
        <v>186</v>
      </c>
      <c r="E52" s="3" t="s">
        <v>187</v>
      </c>
      <c r="F52" s="3" t="s">
        <v>166</v>
      </c>
      <c r="G52" s="2" t="s">
        <v>40</v>
      </c>
      <c r="H52" s="3" t="s">
        <v>188</v>
      </c>
      <c r="I52" s="3" t="s">
        <v>18</v>
      </c>
    </row>
    <row r="53" customFormat="false" ht="15" hidden="false" customHeight="false" outlineLevel="0" collapsed="false">
      <c r="A53" s="4" t="s">
        <v>76</v>
      </c>
      <c r="B53" s="4" t="n">
        <v>19</v>
      </c>
      <c r="C53" s="4"/>
      <c r="D53" s="4" t="s">
        <v>189</v>
      </c>
      <c r="E53" s="5" t="s">
        <v>190</v>
      </c>
      <c r="F53" s="5" t="s">
        <v>166</v>
      </c>
      <c r="G53" s="4" t="s">
        <v>85</v>
      </c>
      <c r="H53" s="5" t="s">
        <v>191</v>
      </c>
      <c r="I53" s="5"/>
    </row>
    <row r="54" customFormat="false" ht="15" hidden="false" customHeight="false" outlineLevel="0" collapsed="false">
      <c r="A54" s="2" t="s">
        <v>76</v>
      </c>
      <c r="B54" s="2" t="n">
        <v>19</v>
      </c>
      <c r="C54" s="2" t="s">
        <v>192</v>
      </c>
      <c r="D54" s="2" t="s">
        <v>193</v>
      </c>
      <c r="E54" s="3" t="s">
        <v>194</v>
      </c>
      <c r="F54" s="3" t="s">
        <v>166</v>
      </c>
      <c r="G54" s="2" t="s">
        <v>130</v>
      </c>
      <c r="H54" s="3" t="s">
        <v>29</v>
      </c>
      <c r="I54" s="3"/>
    </row>
    <row r="55" customFormat="false" ht="23.85" hidden="false" customHeight="false" outlineLevel="0" collapsed="false">
      <c r="A55" s="6" t="s">
        <v>76</v>
      </c>
      <c r="B55" s="6" t="n">
        <v>20</v>
      </c>
      <c r="C55" s="6"/>
      <c r="D55" s="6" t="s">
        <v>195</v>
      </c>
      <c r="E55" s="7" t="s">
        <v>196</v>
      </c>
      <c r="F55" s="7" t="s">
        <v>166</v>
      </c>
      <c r="G55" s="6" t="s">
        <v>85</v>
      </c>
      <c r="H55" s="7" t="s">
        <v>197</v>
      </c>
      <c r="I55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6"/>
  </cols>
  <sheetData>
    <row r="1" customFormat="false" ht="15" hidden="false" customHeight="false" outlineLevel="0" collapsed="false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customFormat="false" ht="46.25" hidden="false" customHeight="false" outlineLevel="0" collapsed="false">
      <c r="A2" s="3" t="s">
        <v>17</v>
      </c>
      <c r="B2" s="2" t="s">
        <v>203</v>
      </c>
      <c r="C2" s="2" t="n">
        <f aca="false">COUNTIF('Assignment Audit'!H2:H55,"*"&amp;A2&amp;"*")</f>
        <v>7</v>
      </c>
      <c r="D2" s="2" t="str">
        <f aca="false">IF(C2=0,"GAP",IF(C2=1,"THIN","covered"))</f>
        <v>covered</v>
      </c>
      <c r="E2" s="3" t="s">
        <v>204</v>
      </c>
    </row>
    <row r="3" customFormat="false" ht="15" hidden="false" customHeight="false" outlineLevel="0" collapsed="false">
      <c r="A3" s="3" t="s">
        <v>205</v>
      </c>
      <c r="B3" s="2" t="s">
        <v>203</v>
      </c>
      <c r="C3" s="2" t="n">
        <f aca="false">COUNTIF('Assignment Audit'!H2:H55,"*"&amp;A3&amp;"*")</f>
        <v>6</v>
      </c>
      <c r="D3" s="2" t="str">
        <f aca="false">IF(C3=0,"GAP",IF(C3=1,"THIN","covered"))</f>
        <v>covered</v>
      </c>
      <c r="E3" s="3" t="s">
        <v>206</v>
      </c>
    </row>
    <row r="4" customFormat="false" ht="15" hidden="false" customHeight="false" outlineLevel="0" collapsed="false">
      <c r="A4" s="3" t="s">
        <v>55</v>
      </c>
      <c r="B4" s="2" t="s">
        <v>203</v>
      </c>
      <c r="C4" s="2" t="n">
        <f aca="false">COUNTIF('Assignment Audit'!H2:H55,"*"&amp;A4&amp;"*")</f>
        <v>6</v>
      </c>
      <c r="D4" s="2" t="str">
        <f aca="false">IF(C4=0,"GAP",IF(C4=1,"THIN","covered"))</f>
        <v>covered</v>
      </c>
      <c r="E4" s="3" t="s">
        <v>207</v>
      </c>
    </row>
    <row r="5" customFormat="false" ht="15" hidden="false" customHeight="false" outlineLevel="0" collapsed="false">
      <c r="A5" s="3" t="s">
        <v>208</v>
      </c>
      <c r="B5" s="2" t="s">
        <v>203</v>
      </c>
      <c r="C5" s="2" t="n">
        <f aca="false">COUNTIF('Assignment Audit'!H2:H55,"*"&amp;A5&amp;"*")</f>
        <v>2</v>
      </c>
      <c r="D5" s="2" t="str">
        <f aca="false">IF(C5=0,"GAP",IF(C5=1,"THIN","covered"))</f>
        <v>covered</v>
      </c>
      <c r="E5" s="3" t="s">
        <v>209</v>
      </c>
    </row>
    <row r="6" customFormat="false" ht="15" hidden="false" customHeight="false" outlineLevel="0" collapsed="false">
      <c r="A6" s="3" t="s">
        <v>210</v>
      </c>
      <c r="B6" s="2" t="s">
        <v>203</v>
      </c>
      <c r="C6" s="2" t="n">
        <f aca="false">COUNTIF('Assignment Audit'!H2:H55,"*"&amp;A6&amp;"*")</f>
        <v>5</v>
      </c>
      <c r="D6" s="2" t="str">
        <f aca="false">IF(C6=0,"GAP",IF(C6=1,"THIN","covered"))</f>
        <v>covered</v>
      </c>
      <c r="E6" s="3" t="s">
        <v>211</v>
      </c>
    </row>
    <row r="7" customFormat="false" ht="15" hidden="false" customHeight="false" outlineLevel="0" collapsed="false">
      <c r="A7" s="3" t="s">
        <v>109</v>
      </c>
      <c r="B7" s="2" t="s">
        <v>203</v>
      </c>
      <c r="C7" s="2" t="n">
        <f aca="false">COUNTIF('Assignment Audit'!H2:H55,"*"&amp;A7&amp;"*")</f>
        <v>2</v>
      </c>
      <c r="D7" s="2" t="str">
        <f aca="false">IF(C7=0,"GAP",IF(C7=1,"THIN","covered"))</f>
        <v>covered</v>
      </c>
      <c r="E7" s="3" t="s">
        <v>212</v>
      </c>
    </row>
    <row r="8" customFormat="false" ht="15" hidden="false" customHeight="false" outlineLevel="0" collapsed="false">
      <c r="A8" s="3" t="s">
        <v>213</v>
      </c>
      <c r="B8" s="2" t="s">
        <v>203</v>
      </c>
      <c r="C8" s="2" t="n">
        <f aca="false">COUNTIF('Assignment Audit'!H2:H55,"*"&amp;A8&amp;"*")</f>
        <v>5</v>
      </c>
      <c r="D8" s="2" t="str">
        <f aca="false">IF(C8=0,"GAP",IF(C8=1,"THIN","covered"))</f>
        <v>covered</v>
      </c>
      <c r="E8" s="3" t="s">
        <v>214</v>
      </c>
    </row>
    <row r="9" customFormat="false" ht="15" hidden="false" customHeight="false" outlineLevel="0" collapsed="false">
      <c r="A9" s="3" t="s">
        <v>215</v>
      </c>
      <c r="B9" s="2" t="s">
        <v>203</v>
      </c>
      <c r="C9" s="2" t="n">
        <f aca="false">COUNTIF('Assignment Audit'!H2:H55,"*"&amp;A9&amp;"*")</f>
        <v>2</v>
      </c>
      <c r="D9" s="2" t="str">
        <f aca="false">IF(C9=0,"GAP",IF(C9=1,"THIN","covered"))</f>
        <v>covered</v>
      </c>
      <c r="E9" s="3" t="s">
        <v>216</v>
      </c>
    </row>
    <row r="10" customFormat="false" ht="15" hidden="false" customHeight="false" outlineLevel="0" collapsed="false">
      <c r="A10" s="3" t="s">
        <v>217</v>
      </c>
      <c r="B10" s="2" t="s">
        <v>203</v>
      </c>
      <c r="C10" s="2" t="n">
        <f aca="false">COUNTIF('Assignment Audit'!H2:H55,"*"&amp;A10&amp;"*")</f>
        <v>4</v>
      </c>
      <c r="D10" s="2" t="str">
        <f aca="false">IF(C10=0,"GAP",IF(C10=1,"THIN","covered"))</f>
        <v>covered</v>
      </c>
      <c r="E10" s="3" t="s">
        <v>218</v>
      </c>
    </row>
    <row r="11" customFormat="false" ht="15" hidden="false" customHeight="false" outlineLevel="0" collapsed="false">
      <c r="A11" s="3" t="s">
        <v>219</v>
      </c>
      <c r="B11" s="2" t="s">
        <v>203</v>
      </c>
      <c r="C11" s="2" t="n">
        <f aca="false">COUNTIF('Assignment Audit'!H2:H55,"*"&amp;A11&amp;"*")</f>
        <v>2</v>
      </c>
      <c r="D11" s="2" t="str">
        <f aca="false">IF(C11=0,"GAP",IF(C11=1,"THIN","covered"))</f>
        <v>covered</v>
      </c>
      <c r="E11" s="3" t="s">
        <v>220</v>
      </c>
    </row>
    <row r="12" customFormat="false" ht="23.85" hidden="false" customHeight="false" outlineLevel="0" collapsed="false">
      <c r="A12" s="3" t="s">
        <v>221</v>
      </c>
      <c r="B12" s="2" t="s">
        <v>222</v>
      </c>
      <c r="C12" s="2" t="n">
        <f aca="false">COUNTIF('Assignment Audit'!H2:H55,"*"&amp;A12&amp;"*")</f>
        <v>2</v>
      </c>
      <c r="D12" s="2" t="str">
        <f aca="false">IF(C12=0,"GAP",IF(C12=1,"THIN","covered"))</f>
        <v>covered</v>
      </c>
      <c r="E12" s="3" t="s">
        <v>223</v>
      </c>
    </row>
    <row r="13" customFormat="false" ht="23.85" hidden="false" customHeight="false" outlineLevel="0" collapsed="false">
      <c r="A13" s="3" t="s">
        <v>224</v>
      </c>
      <c r="B13" s="2" t="s">
        <v>222</v>
      </c>
      <c r="C13" s="2" t="n">
        <f aca="false">COUNTIF('Assignment Audit'!H2:H55,"*"&amp;A13&amp;"*")</f>
        <v>3</v>
      </c>
      <c r="D13" s="2" t="str">
        <f aca="false">IF(C13=0,"GAP",IF(C13=1,"THIN","covered"))</f>
        <v>covered</v>
      </c>
      <c r="E13" s="3" t="s">
        <v>225</v>
      </c>
    </row>
    <row r="14" customFormat="false" ht="23.85" hidden="false" customHeight="false" outlineLevel="0" collapsed="false">
      <c r="A14" s="3" t="s">
        <v>226</v>
      </c>
      <c r="B14" s="2" t="s">
        <v>222</v>
      </c>
      <c r="C14" s="2" t="n">
        <f aca="false">COUNTIF('Assignment Audit'!H2:H55,"*"&amp;A14&amp;"*")</f>
        <v>2</v>
      </c>
      <c r="D14" s="2" t="str">
        <f aca="false">IF(C14=0,"GAP",IF(C14=1,"THIN","covered"))</f>
        <v>covered</v>
      </c>
      <c r="E14" s="3" t="s">
        <v>227</v>
      </c>
    </row>
    <row r="15" customFormat="false" ht="23.85" hidden="false" customHeight="false" outlineLevel="0" collapsed="false">
      <c r="A15" s="3" t="s">
        <v>228</v>
      </c>
      <c r="B15" s="2" t="s">
        <v>222</v>
      </c>
      <c r="C15" s="2" t="n">
        <f aca="false">COUNTIF('Assignment Audit'!H2:H55,"*"&amp;A15&amp;"*")</f>
        <v>2</v>
      </c>
      <c r="D15" s="2" t="str">
        <f aca="false">IF(C15=0,"GAP",IF(C15=1,"THIN","covered"))</f>
        <v>covered</v>
      </c>
      <c r="E15" s="3" t="s">
        <v>229</v>
      </c>
    </row>
    <row r="16" customFormat="false" ht="15" hidden="false" customHeight="false" outlineLevel="0" collapsed="false">
      <c r="A16" s="3" t="s">
        <v>230</v>
      </c>
      <c r="B16" s="2" t="s">
        <v>222</v>
      </c>
      <c r="C16" s="2" t="n">
        <f aca="false">COUNTIF('Assignment Audit'!H2:H55,"*"&amp;A16&amp;"*")</f>
        <v>2</v>
      </c>
      <c r="D16" s="2" t="str">
        <f aca="false">IF(C16=0,"GAP",IF(C16=1,"THIN","covered"))</f>
        <v>covered</v>
      </c>
      <c r="E16" s="3" t="s">
        <v>231</v>
      </c>
    </row>
    <row r="17" customFormat="false" ht="15" hidden="false" customHeight="false" outlineLevel="0" collapsed="false">
      <c r="A17" s="3" t="s">
        <v>232</v>
      </c>
      <c r="B17" s="2" t="s">
        <v>222</v>
      </c>
      <c r="C17" s="2" t="n">
        <f aca="false">COUNTIF('Assignment Audit'!H2:H55,"*"&amp;A17&amp;"*")</f>
        <v>2</v>
      </c>
      <c r="D17" s="2" t="str">
        <f aca="false">IF(C17=0,"GAP",IF(C17=1,"THIN","covered"))</f>
        <v>covered</v>
      </c>
      <c r="E17" s="3" t="s">
        <v>233</v>
      </c>
    </row>
    <row r="18" customFormat="false" ht="15" hidden="false" customHeight="false" outlineLevel="0" collapsed="false">
      <c r="A18" s="3" t="s">
        <v>22</v>
      </c>
      <c r="B18" s="2" t="s">
        <v>234</v>
      </c>
      <c r="C18" s="2" t="n">
        <f aca="false">COUNTIF('Assignment Audit'!H2:H55,"*"&amp;A18&amp;"*")</f>
        <v>2</v>
      </c>
      <c r="D18" s="2" t="str">
        <f aca="false">IF(C18=0,"GAP",IF(C18=1,"THIN","covered"))</f>
        <v>covered</v>
      </c>
      <c r="E18" s="3" t="s">
        <v>235</v>
      </c>
    </row>
    <row r="19" customFormat="false" ht="23.85" hidden="false" customHeight="false" outlineLevel="0" collapsed="false">
      <c r="A19" s="3" t="s">
        <v>236</v>
      </c>
      <c r="B19" s="2" t="s">
        <v>234</v>
      </c>
      <c r="C19" s="2" t="n">
        <f aca="false">COUNTIF('Assignment Audit'!H2:H55,"*"&amp;A19&amp;"*")</f>
        <v>2</v>
      </c>
      <c r="D19" s="2" t="str">
        <f aca="false">IF(C19=0,"GAP",IF(C19=1,"THIN","covered"))</f>
        <v>covered</v>
      </c>
      <c r="E19" s="3" t="s">
        <v>237</v>
      </c>
    </row>
    <row r="20" customFormat="false" ht="23.85" hidden="false" customHeight="false" outlineLevel="0" collapsed="false">
      <c r="A20" s="3" t="s">
        <v>238</v>
      </c>
      <c r="B20" s="2" t="s">
        <v>234</v>
      </c>
      <c r="C20" s="2" t="n">
        <f aca="false">COUNTIF('Assignment Audit'!H2:H55,"*"&amp;A20&amp;"*")</f>
        <v>2</v>
      </c>
      <c r="D20" s="2" t="str">
        <f aca="false">IF(C20=0,"GAP",IF(C20=1,"THIN","covered"))</f>
        <v>covered</v>
      </c>
      <c r="E20" s="3" t="s">
        <v>239</v>
      </c>
    </row>
    <row r="21" customFormat="false" ht="15" hidden="false" customHeight="false" outlineLevel="0" collapsed="false">
      <c r="A21" s="3" t="s">
        <v>240</v>
      </c>
      <c r="B21" s="2" t="s">
        <v>234</v>
      </c>
      <c r="C21" s="2" t="n">
        <f aca="false">COUNTIF('Assignment Audit'!H2:H55,"*"&amp;A21&amp;"*")</f>
        <v>3</v>
      </c>
      <c r="D21" s="2" t="str">
        <f aca="false">IF(C21=0,"GAP",IF(C21=1,"THIN","covered"))</f>
        <v>covered</v>
      </c>
      <c r="E21" s="3" t="s">
        <v>241</v>
      </c>
    </row>
    <row r="22" customFormat="false" ht="15" hidden="false" customHeight="false" outlineLevel="0" collapsed="false">
      <c r="A22" s="3" t="s">
        <v>242</v>
      </c>
      <c r="B22" s="2" t="s">
        <v>234</v>
      </c>
      <c r="C22" s="2" t="n">
        <f aca="false">COUNTIF('Assignment Audit'!H2:H55,"*"&amp;A22&amp;"*")</f>
        <v>3</v>
      </c>
      <c r="D22" s="2" t="str">
        <f aca="false">IF(C22=0,"GAP",IF(C22=1,"THIN","covered"))</f>
        <v>covered</v>
      </c>
      <c r="E22" s="3" t="s">
        <v>243</v>
      </c>
    </row>
    <row r="23" customFormat="false" ht="23.85" hidden="false" customHeight="false" outlineLevel="0" collapsed="false">
      <c r="A23" s="3" t="s">
        <v>244</v>
      </c>
      <c r="B23" s="2" t="s">
        <v>234</v>
      </c>
      <c r="C23" s="2" t="n">
        <f aca="false">COUNTIF('Assignment Audit'!H2:H55,"*"&amp;A23&amp;"*")</f>
        <v>2</v>
      </c>
      <c r="D23" s="2" t="str">
        <f aca="false">IF(C23=0,"GAP",IF(C23=1,"THIN","covered"))</f>
        <v>covered</v>
      </c>
      <c r="E23" s="3" t="s">
        <v>245</v>
      </c>
    </row>
    <row r="24" customFormat="false" ht="35.05" hidden="false" customHeight="false" outlineLevel="0" collapsed="false">
      <c r="A24" s="3" t="s">
        <v>52</v>
      </c>
      <c r="B24" s="2" t="s">
        <v>246</v>
      </c>
      <c r="C24" s="2" t="n">
        <f aca="false">COUNTIF('Assignment Audit'!H2:H55,"*"&amp;A24&amp;"*")</f>
        <v>6</v>
      </c>
      <c r="D24" s="2" t="str">
        <f aca="false">IF(C24=0,"GAP",IF(C24=1,"THIN","covered"))</f>
        <v>covered</v>
      </c>
      <c r="E24" s="3" t="s">
        <v>247</v>
      </c>
    </row>
    <row r="25" customFormat="false" ht="15" hidden="false" customHeight="false" outlineLevel="0" collapsed="false">
      <c r="A25" s="3" t="s">
        <v>248</v>
      </c>
      <c r="B25" s="2" t="s">
        <v>246</v>
      </c>
      <c r="C25" s="2" t="n">
        <f aca="false">COUNTIF('Assignment Audit'!H2:H55,"*"&amp;A25&amp;"*")</f>
        <v>4</v>
      </c>
      <c r="D25" s="2" t="str">
        <f aca="false">IF(C25=0,"GAP",IF(C25=1,"THIN","covered"))</f>
        <v>covered</v>
      </c>
      <c r="E25" s="3" t="s">
        <v>249</v>
      </c>
    </row>
    <row r="26" customFormat="false" ht="23.85" hidden="false" customHeight="false" outlineLevel="0" collapsed="false">
      <c r="A26" s="3" t="s">
        <v>250</v>
      </c>
      <c r="B26" s="2" t="s">
        <v>246</v>
      </c>
      <c r="C26" s="2" t="n">
        <f aca="false">COUNTIF('Assignment Audit'!H2:H55,"*"&amp;A26&amp;"*")</f>
        <v>2</v>
      </c>
      <c r="D26" s="2" t="str">
        <f aca="false">IF(C26=0,"GAP",IF(C26=1,"THIN","covered"))</f>
        <v>covered</v>
      </c>
      <c r="E26" s="3" t="s">
        <v>251</v>
      </c>
    </row>
    <row r="27" customFormat="false" ht="15" hidden="false" customHeight="false" outlineLevel="0" collapsed="false">
      <c r="A27" s="3" t="s">
        <v>252</v>
      </c>
      <c r="B27" s="2" t="s">
        <v>246</v>
      </c>
      <c r="C27" s="2" t="n">
        <f aca="false">COUNTIF('Assignment Audit'!H2:H55,"*"&amp;A27&amp;"*")</f>
        <v>2</v>
      </c>
      <c r="D27" s="2" t="str">
        <f aca="false">IF(C27=0,"GAP",IF(C27=1,"THIN","covered"))</f>
        <v>covered</v>
      </c>
      <c r="E27" s="3" t="s">
        <v>253</v>
      </c>
    </row>
    <row r="28" customFormat="false" ht="23.85" hidden="false" customHeight="false" outlineLevel="0" collapsed="false">
      <c r="A28" s="3" t="s">
        <v>29</v>
      </c>
      <c r="B28" s="2" t="s">
        <v>246</v>
      </c>
      <c r="C28" s="2" t="n">
        <f aca="false">COUNTIF('Assignment Audit'!H2:H55,"*"&amp;A28&amp;"*")</f>
        <v>11</v>
      </c>
      <c r="D28" s="2" t="str">
        <f aca="false">IF(C28=0,"GAP",IF(C28=1,"THIN","covered"))</f>
        <v>covered</v>
      </c>
      <c r="E28" s="3" t="s">
        <v>254</v>
      </c>
    </row>
    <row r="29" customFormat="false" ht="15" hidden="false" customHeight="false" outlineLevel="0" collapsed="false">
      <c r="A29" s="3" t="s">
        <v>255</v>
      </c>
      <c r="B29" s="2" t="s">
        <v>246</v>
      </c>
      <c r="C29" s="2" t="n">
        <f aca="false">COUNTIF('Assignment Audit'!H2:H55,"*"&amp;A29&amp;"*")</f>
        <v>4</v>
      </c>
      <c r="D29" s="2" t="str">
        <f aca="false">IF(C29=0,"GAP",IF(C29=1,"THIN","covered"))</f>
        <v>covered</v>
      </c>
      <c r="E29" s="3" t="s">
        <v>256</v>
      </c>
    </row>
    <row r="30" customFormat="false" ht="23.85" hidden="false" customHeight="false" outlineLevel="0" collapsed="false">
      <c r="A30" s="3" t="s">
        <v>257</v>
      </c>
      <c r="B30" s="2" t="s">
        <v>246</v>
      </c>
      <c r="C30" s="2" t="n">
        <f aca="false">COUNTIF('Assignment Audit'!H2:H55,"*"&amp;A30&amp;"*")</f>
        <v>5</v>
      </c>
      <c r="D30" s="2" t="str">
        <f aca="false">IF(C30=0,"GAP",IF(C30=1,"THIN","covered"))</f>
        <v>covered</v>
      </c>
      <c r="E30" s="3" t="s">
        <v>258</v>
      </c>
    </row>
    <row r="31" customFormat="false" ht="15" hidden="false" customHeight="false" outlineLevel="0" collapsed="false">
      <c r="A31" s="3" t="s">
        <v>259</v>
      </c>
      <c r="B31" s="2" t="s">
        <v>260</v>
      </c>
      <c r="C31" s="2" t="n">
        <f aca="false">COUNTIF('Assignment Audit'!H2:H55,"*"&amp;A31&amp;"*")</f>
        <v>3</v>
      </c>
      <c r="D31" s="2" t="str">
        <f aca="false">IF(C31=0,"GAP",IF(C31=1,"THIN","covered"))</f>
        <v>covered</v>
      </c>
      <c r="E31" s="3" t="s">
        <v>261</v>
      </c>
    </row>
    <row r="32" customFormat="false" ht="15" hidden="false" customHeight="false" outlineLevel="0" collapsed="false">
      <c r="A32" s="3" t="s">
        <v>262</v>
      </c>
      <c r="B32" s="2" t="s">
        <v>260</v>
      </c>
      <c r="C32" s="2" t="n">
        <f aca="false">COUNTIF('Assignment Audit'!H2:H55,"*"&amp;A32&amp;"*")</f>
        <v>3</v>
      </c>
      <c r="D32" s="2" t="str">
        <f aca="false">IF(C32=0,"GAP",IF(C32=1,"THIN","covered"))</f>
        <v>covered</v>
      </c>
      <c r="E32" s="3" t="s">
        <v>263</v>
      </c>
    </row>
    <row r="33" customFormat="false" ht="15" hidden="false" customHeight="false" outlineLevel="0" collapsed="false">
      <c r="A33" s="3" t="s">
        <v>264</v>
      </c>
      <c r="B33" s="2" t="s">
        <v>260</v>
      </c>
      <c r="C33" s="2" t="n">
        <f aca="false">COUNTIF('Assignment Audit'!H2:H55,"*"&amp;A33&amp;"*")</f>
        <v>4</v>
      </c>
      <c r="D33" s="2" t="str">
        <f aca="false">IF(C33=0,"GAP",IF(C33=1,"THIN","covered"))</f>
        <v>covered</v>
      </c>
      <c r="E33" s="3" t="s">
        <v>265</v>
      </c>
    </row>
    <row r="34" customFormat="false" ht="23.85" hidden="false" customHeight="false" outlineLevel="0" collapsed="false">
      <c r="A34" s="3" t="s">
        <v>266</v>
      </c>
      <c r="B34" s="2" t="s">
        <v>260</v>
      </c>
      <c r="C34" s="2" t="n">
        <f aca="false">COUNTIF('Assignment Audit'!H2:H55,"*"&amp;A34&amp;"*")</f>
        <v>2</v>
      </c>
      <c r="D34" s="2" t="str">
        <f aca="false">IF(C34=0,"GAP",IF(C34=1,"THIN","covered"))</f>
        <v>covered</v>
      </c>
      <c r="E34" s="3" t="s">
        <v>267</v>
      </c>
    </row>
    <row r="35" customFormat="false" ht="15" hidden="false" customHeight="false" outlineLevel="0" collapsed="false">
      <c r="A35" s="3" t="s">
        <v>268</v>
      </c>
      <c r="B35" s="2" t="s">
        <v>260</v>
      </c>
      <c r="C35" s="2" t="n">
        <f aca="false">COUNTIF('Assignment Audit'!H2:H55,"*"&amp;A35&amp;"*")</f>
        <v>3</v>
      </c>
      <c r="D35" s="2" t="str">
        <f aca="false">IF(C35=0,"GAP",IF(C35=1,"THIN","covered"))</f>
        <v>covered</v>
      </c>
      <c r="E35" s="3" t="s">
        <v>269</v>
      </c>
    </row>
    <row r="36" customFormat="false" ht="23.85" hidden="false" customHeight="false" outlineLevel="0" collapsed="false">
      <c r="A36" s="3" t="s">
        <v>270</v>
      </c>
      <c r="B36" s="2" t="s">
        <v>260</v>
      </c>
      <c r="C36" s="2" t="n">
        <f aca="false">COUNTIF('Assignment Audit'!H2:H55,"*"&amp;A36&amp;"*")</f>
        <v>8</v>
      </c>
      <c r="D36" s="2" t="str">
        <f aca="false">IF(C36=0,"GAP",IF(C36=1,"THIN","covered"))</f>
        <v>covered</v>
      </c>
      <c r="E36" s="3" t="s">
        <v>271</v>
      </c>
    </row>
    <row r="37" customFormat="false" ht="15" hidden="false" customHeight="false" outlineLevel="0" collapsed="false">
      <c r="A37" s="3" t="s">
        <v>272</v>
      </c>
      <c r="B37" s="2" t="s">
        <v>260</v>
      </c>
      <c r="C37" s="2" t="n">
        <f aca="false">COUNTIF('Assignment Audit'!H2:H55,"*"&amp;A37&amp;"*")</f>
        <v>2</v>
      </c>
      <c r="D37" s="2" t="str">
        <f aca="false">IF(C37=0,"GAP",IF(C37=1,"THIN","covered"))</f>
        <v>covered</v>
      </c>
      <c r="E37" s="3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2026-06-18T20:07:14Z</dcterms:created>
  <dc:creator>openpyxl</dc:creator>
  <dc:description/>
  <dc:language>en-US</dc:language>
  <cp:lastModifiedBy/>
  <dcterms:modified xsi:type="dcterms:W3CDTF">2026-06-18T20:07:14Z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